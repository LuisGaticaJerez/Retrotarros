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'Catálogo'!$A$4:$L$25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5F0E8"/>
      <sz val="16"/>
    </font>
    <font>
      <name val="Arial"/>
      <charset val="1"/>
      <family val="0"/>
      <i val="1"/>
      <color rgb="FFF5F0E8"/>
      <sz val="10"/>
    </font>
    <font>
      <name val="Arial"/>
      <charset val="1"/>
      <family val="0"/>
      <b val="1"/>
      <color rgb="FFF5F0E8"/>
      <sz val="11"/>
    </font>
    <font>
      <name val="Arial"/>
      <charset val="1"/>
      <family val="0"/>
      <color rgb="FF1A0F3A"/>
      <sz val="10"/>
    </font>
    <font>
      <name val="Arial"/>
      <charset val="1"/>
      <family val="0"/>
      <i val="1"/>
      <color rgb="FF2D1B69"/>
      <sz val="9"/>
    </font>
    <font>
      <name val="Arial"/>
      <charset val="1"/>
      <family val="0"/>
      <b val="1"/>
      <color rgb="FFF5F0E8"/>
      <sz val="14"/>
    </font>
    <font>
      <name val="Arial"/>
      <charset val="1"/>
      <family val="0"/>
      <i val="1"/>
      <color rgb="FFF5F0E8"/>
      <sz val="9"/>
    </font>
    <font>
      <name val="Arial"/>
      <charset val="1"/>
      <family val="0"/>
      <b val="1"/>
      <color rgb="FF1A0F3A"/>
      <sz val="10"/>
    </font>
  </fonts>
  <fills count="8">
    <fill>
      <patternFill/>
    </fill>
    <fill>
      <patternFill patternType="gray125"/>
    </fill>
    <fill>
      <patternFill patternType="solid">
        <fgColor rgb="FFFF2E88"/>
        <bgColor rgb="FFFF00FF"/>
      </patternFill>
    </fill>
    <fill>
      <patternFill patternType="solid">
        <fgColor rgb="FF2D1B69"/>
        <bgColor rgb="FF1A0F3A"/>
      </patternFill>
    </fill>
    <fill>
      <patternFill patternType="solid">
        <fgColor rgb="FFFFF0F7"/>
        <bgColor rgb="FFFBF7FF"/>
      </patternFill>
    </fill>
    <fill>
      <patternFill patternType="solid">
        <fgColor rgb="FFF5F0E8"/>
        <bgColor rgb="FFFFF0F7"/>
      </patternFill>
    </fill>
    <fill>
      <patternFill patternType="solid">
        <fgColor rgb="FFFFD23F"/>
        <bgColor rgb="FFFFCC99"/>
      </patternFill>
    </fill>
    <fill>
      <patternFill patternType="solid">
        <fgColor rgb="FFFBF7FF"/>
        <bgColor rgb="FFFFF0F7"/>
      </patternFill>
    </fill>
  </fills>
  <borders count="2">
    <border>
      <left/>
      <right/>
      <top/>
      <bottom/>
      <diagonal/>
    </border>
    <border>
      <left style="thin">
        <color rgb="FFD6CFE8"/>
      </left>
      <right style="thin">
        <color rgb="FFD6CFE8"/>
      </right>
      <top style="thin">
        <color rgb="FFD6CFE8"/>
      </top>
      <bottom style="thin">
        <color rgb="FFD6CF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2D1B69"/>
          <bgColor rgb="FF000000"/>
        </patternFill>
      </fill>
    </dxf>
    <dxf>
      <fill>
        <patternFill patternType="solid">
          <fgColor rgb="FFFFF0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0F3A"/>
          <bgColor rgb="FF000000"/>
        </patternFill>
      </fill>
    </dxf>
    <dxf>
      <fill>
        <patternFill patternType="solid">
          <fgColor rgb="FFF5F0E8"/>
          <bgColor rgb="FF000000"/>
        </patternFill>
      </fill>
    </dxf>
  </dxfs>
  <colors>
    <indexedColors>
      <rgbColor rgb="FF000000"/>
      <rgbColor rgb="FFFBF7FF"/>
      <rgbColor rgb="FFFF0000"/>
      <rgbColor rgb="FF00FF00"/>
      <rgbColor rgb="FF0000FF"/>
      <rgbColor rgb="FFFFFF00"/>
      <rgbColor rgb="FFFF2E88"/>
      <rgbColor rgb="FF00FFFF"/>
      <rgbColor rgb="FF800000"/>
      <rgbColor rgb="FF008000"/>
      <rgbColor rgb="FF1A0F3A"/>
      <rgbColor rgb="FF808000"/>
      <rgbColor rgb="FF800080"/>
      <rgbColor rgb="FF008080"/>
      <rgbColor rgb="FFC0C0C0"/>
      <rgbColor rgb="FF808080"/>
      <rgbColor rgb="FF9999FF"/>
      <rgbColor rgb="FF993366"/>
      <rgbColor rgb="FFF5F0E8"/>
      <rgbColor rgb="FFFFF0F7"/>
      <rgbColor rgb="FF660066"/>
      <rgbColor rgb="FFFF8080"/>
      <rgbColor rgb="FF0066CC"/>
      <rgbColor rgb="FFD6C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23F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D1B6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5" min="1" max="1"/>
    <col width="8" customWidth="1" style="15" min="2" max="2"/>
    <col width="32" customWidth="1" style="15" min="3" max="3"/>
    <col width="22" customWidth="1" style="15" min="4" max="4"/>
    <col width="9" customWidth="1" style="15" min="5" max="5"/>
    <col width="12" customWidth="1" style="15" min="6" max="6"/>
    <col width="18" customWidth="1" style="15" min="7" max="7"/>
    <col width="32" customWidth="1" style="15" min="8" max="8"/>
    <col width="30" customWidth="1" style="15" min="9" max="10"/>
    <col width="22" customWidth="1" style="15" min="11" max="11"/>
    <col width="55" customWidth="1" style="15" min="12" max="12"/>
  </cols>
  <sheetData>
    <row r="1" ht="33.75" customHeight="1" s="16">
      <c r="A1" s="17" t="inlineStr">
        <is>
          <t>RETROTARROS — Catálogo de juegos (6 meses)</t>
        </is>
      </c>
    </row>
    <row r="2" ht="21.75" customHeight="1" s="16">
      <c r="A2" s="18" t="inlineStr">
        <is>
          <t>Clasificación por año, generación, consola y saga · Música icónica de cada gen</t>
        </is>
      </c>
    </row>
    <row r="4" ht="36" customHeight="1" s="16">
      <c r="A4" s="19" t="inlineStr">
        <is>
          <t>N° Ep</t>
        </is>
      </c>
      <c r="B4" s="19" t="inlineStr">
        <is>
          <t>Mes</t>
        </is>
      </c>
      <c r="C4" s="19" t="inlineStr">
        <is>
          <t>Juego</t>
        </is>
      </c>
      <c r="D4" s="19" t="inlineStr">
        <is>
          <t>Saga</t>
        </is>
      </c>
      <c r="E4" s="19" t="inlineStr">
        <is>
          <t>Año</t>
        </is>
      </c>
      <c r="F4" s="19" t="inlineStr">
        <is>
          <t>Generación</t>
        </is>
      </c>
      <c r="G4" s="19" t="inlineStr">
        <is>
          <t>Consola original</t>
        </is>
      </c>
      <c r="H4" s="19" t="inlineStr">
        <is>
          <t>Otras plataformas</t>
        </is>
      </c>
      <c r="I4" s="19" t="inlineStr">
        <is>
          <t>Compositor(es)</t>
        </is>
      </c>
      <c r="J4" s="19" t="inlineStr">
        <is>
          <t>Tema para Koko (batería)</t>
        </is>
      </c>
      <c r="K4" s="19" t="inlineStr">
        <is>
          <t>Estado</t>
        </is>
      </c>
      <c r="L4" s="19" t="inlineStr">
        <is>
          <t>Notas</t>
        </is>
      </c>
    </row>
    <row r="5" ht="43.5" customHeight="1" s="16">
      <c r="A5" s="20" t="inlineStr">
        <is>
          <t>1</t>
        </is>
      </c>
      <c r="B5" s="20" t="inlineStr">
        <is>
          <t>Mes 1</t>
        </is>
      </c>
      <c r="C5" s="21" t="inlineStr">
        <is>
          <t>Super Mario Bros.</t>
        </is>
      </c>
      <c r="D5" s="21" t="inlineStr">
        <is>
          <t>Super Mario</t>
        </is>
      </c>
      <c r="E5" s="20" t="inlineStr">
        <is>
          <t>1985</t>
        </is>
      </c>
      <c r="F5" s="20" t="inlineStr">
        <is>
          <t>3ra</t>
        </is>
      </c>
      <c r="G5" s="21" t="inlineStr">
        <is>
          <t>NES</t>
        </is>
      </c>
      <c r="H5" s="21" t="inlineStr">
        <is>
          <t>Múltiples re-lanzamientos (NSO, Switch Online)</t>
        </is>
      </c>
      <c r="I5" s="21" t="inlineStr">
        <is>
          <t>Koji Kondo</t>
        </is>
      </c>
      <c r="J5" s="21" t="inlineStr">
        <is>
          <t>Overworld Theme</t>
        </is>
      </c>
      <c r="K5" s="21" t="inlineStr">
        <is>
          <t>Planificado</t>
        </is>
      </c>
      <c r="L5" s="21" t="inlineStr">
        <is>
          <t>Inicio seguro. El tema más reconocible del planeta. Función: enseñar el formato.</t>
        </is>
      </c>
    </row>
    <row r="6" ht="43.5" customHeight="1" s="16">
      <c r="A6" s="22" t="inlineStr">
        <is>
          <t>2</t>
        </is>
      </c>
      <c r="B6" s="22" t="inlineStr">
        <is>
          <t>Mes 1</t>
        </is>
      </c>
      <c r="C6" s="23" t="inlineStr">
        <is>
          <t>Castlevania</t>
        </is>
      </c>
      <c r="D6" s="23" t="inlineStr">
        <is>
          <t>Castlevania</t>
        </is>
      </c>
      <c r="E6" s="22" t="inlineStr">
        <is>
          <t>1986</t>
        </is>
      </c>
      <c r="F6" s="22" t="inlineStr">
        <is>
          <t>3ra</t>
        </is>
      </c>
      <c r="G6" s="23" t="inlineStr">
        <is>
          <t>NES</t>
        </is>
      </c>
      <c r="H6" s="23" t="inlineStr">
        <is>
          <t>Famicom Disk System original (1986); NES NA 1987</t>
        </is>
      </c>
      <c r="I6" s="23" t="inlineStr">
        <is>
          <t>Kinuyo Yamashita</t>
        </is>
      </c>
      <c r="J6" s="23" t="inlineStr">
        <is>
          <t>Vampire Killer / Bloody Tears</t>
        </is>
      </c>
      <c r="K6" s="23" t="inlineStr">
        <is>
          <t>Planificado</t>
        </is>
      </c>
      <c r="L6" s="23" t="inlineStr">
        <is>
          <t>OST rock/metal — ideal para batería. Salto temprano al diferencial del canal.</t>
        </is>
      </c>
    </row>
    <row r="7" ht="43.5" customHeight="1" s="16">
      <c r="A7" s="20" t="inlineStr">
        <is>
          <t>3</t>
        </is>
      </c>
      <c r="B7" s="20" t="inlineStr">
        <is>
          <t>Mes 1</t>
        </is>
      </c>
      <c r="C7" s="21" t="inlineStr">
        <is>
          <t>The Legend of Zelda</t>
        </is>
      </c>
      <c r="D7" s="21" t="inlineStr">
        <is>
          <t>The Legend of Zelda</t>
        </is>
      </c>
      <c r="E7" s="20" t="inlineStr">
        <is>
          <t>1986</t>
        </is>
      </c>
      <c r="F7" s="20" t="inlineStr">
        <is>
          <t>3ra</t>
        </is>
      </c>
      <c r="G7" s="21" t="inlineStr">
        <is>
          <t>NES</t>
        </is>
      </c>
      <c r="H7" s="21" t="inlineStr">
        <is>
          <t>Famicom Disk original; multiplataforma (NSO)</t>
        </is>
      </c>
      <c r="I7" s="21" t="inlineStr">
        <is>
          <t>Koji Kondo</t>
        </is>
      </c>
      <c r="J7" s="21" t="inlineStr">
        <is>
          <t>Main Theme / Overworld</t>
        </is>
      </c>
      <c r="K7" s="21" t="inlineStr">
        <is>
          <t>Planificado</t>
        </is>
      </c>
      <c r="L7" s="21" t="inlineStr">
        <is>
          <t>Kondo desde otro ángulo: composición orquestal vs. la de Mario.</t>
        </is>
      </c>
    </row>
    <row r="8" ht="43.5" customHeight="1" s="16">
      <c r="A8" s="22" t="inlineStr">
        <is>
          <t>4</t>
        </is>
      </c>
      <c r="B8" s="22" t="inlineStr">
        <is>
          <t>Mes 2</t>
        </is>
      </c>
      <c r="C8" s="23" t="inlineStr">
        <is>
          <t>Final Fantasy VI</t>
        </is>
      </c>
      <c r="D8" s="23" t="inlineStr">
        <is>
          <t>Final Fantasy</t>
        </is>
      </c>
      <c r="E8" s="22" t="inlineStr">
        <is>
          <t>1994</t>
        </is>
      </c>
      <c r="F8" s="22" t="inlineStr">
        <is>
          <t>4ta</t>
        </is>
      </c>
      <c r="G8" s="23" t="inlineStr">
        <is>
          <t>SNES</t>
        </is>
      </c>
      <c r="H8" s="23" t="inlineStr">
        <is>
          <t>PS1, GBA, móvil, Switch, PC</t>
        </is>
      </c>
      <c r="I8" s="23" t="inlineStr">
        <is>
          <t>Nobuo Uematsu</t>
        </is>
      </c>
      <c r="J8" s="23" t="inlineStr">
        <is>
          <t>Terra's Theme</t>
        </is>
      </c>
      <c r="K8" s="23" t="inlineStr">
        <is>
          <t>Por decidir (opción A)</t>
        </is>
      </c>
      <c r="L8" s="23" t="inlineStr">
        <is>
          <t>Decisión: VI o VII según qué pueda interpretar mejor Koko.</t>
        </is>
      </c>
    </row>
    <row r="9" ht="43.5" customHeight="1" s="16">
      <c r="A9" s="20" t="inlineStr">
        <is>
          <t>4*</t>
        </is>
      </c>
      <c r="B9" s="20" t="inlineStr">
        <is>
          <t>Mes 2</t>
        </is>
      </c>
      <c r="C9" s="21" t="inlineStr">
        <is>
          <t>Final Fantasy VII</t>
        </is>
      </c>
      <c r="D9" s="21" t="inlineStr">
        <is>
          <t>Final Fantasy</t>
        </is>
      </c>
      <c r="E9" s="20" t="inlineStr">
        <is>
          <t>1997</t>
        </is>
      </c>
      <c r="F9" s="20" t="inlineStr">
        <is>
          <t>5ta</t>
        </is>
      </c>
      <c r="G9" s="21" t="inlineStr">
        <is>
          <t>PS1</t>
        </is>
      </c>
      <c r="H9" s="21" t="inlineStr">
        <is>
          <t>PC, modernas múltiples</t>
        </is>
      </c>
      <c r="I9" s="21" t="inlineStr">
        <is>
          <t>Nobuo Uematsu</t>
        </is>
      </c>
      <c r="J9" s="21" t="inlineStr">
        <is>
          <t>One-Winged Angel</t>
        </is>
      </c>
      <c r="K9" s="21" t="inlineStr">
        <is>
          <t>Alternativa</t>
        </is>
      </c>
      <c r="L9" s="21" t="inlineStr">
        <is>
          <t>Más mainstream que FF VI. Batería épica en el cierre.</t>
        </is>
      </c>
    </row>
    <row r="10" ht="43.5" customHeight="1" s="16">
      <c r="A10" s="22" t="inlineStr">
        <is>
          <t>5</t>
        </is>
      </c>
      <c r="B10" s="22" t="inlineStr">
        <is>
          <t>Mes 2</t>
        </is>
      </c>
      <c r="C10" s="23" t="inlineStr">
        <is>
          <t>Mega Man</t>
        </is>
      </c>
      <c r="D10" s="23" t="inlineStr">
        <is>
          <t>Mega Man (clásico)</t>
        </is>
      </c>
      <c r="E10" s="22" t="inlineStr">
        <is>
          <t>1987</t>
        </is>
      </c>
      <c r="F10" s="22" t="inlineStr">
        <is>
          <t>3ra</t>
        </is>
      </c>
      <c r="G10" s="23" t="inlineStr">
        <is>
          <t>NES</t>
        </is>
      </c>
      <c r="H10" s="23" t="inlineStr">
        <is>
          <t>Multiplataforma (Legacy Collection)</t>
        </is>
      </c>
      <c r="I10" s="23" t="inlineStr">
        <is>
          <t>Manami Matsumae</t>
        </is>
      </c>
      <c r="J10" s="23" t="inlineStr">
        <is>
          <t>Dr. Wily Stage 1</t>
        </is>
      </c>
      <c r="K10" s="23" t="inlineStr">
        <is>
          <t>Planificado</t>
        </is>
      </c>
      <c r="L10" s="23" t="inlineStr">
        <is>
          <t>Cada stage es prácticamente un tema rockero. Vuelta al formato corto y enérgico.</t>
        </is>
      </c>
    </row>
    <row r="11" ht="43.5" customHeight="1" s="16">
      <c r="A11" s="20" t="inlineStr">
        <is>
          <t>6</t>
        </is>
      </c>
      <c r="B11" s="20" t="inlineStr">
        <is>
          <t>Mes 2</t>
        </is>
      </c>
      <c r="C11" s="21" t="inlineStr">
        <is>
          <t>[Indie Lat #1] — por definir</t>
        </is>
      </c>
      <c r="D11" s="21" t="inlineStr">
        <is>
          <t>—</t>
        </is>
      </c>
      <c r="E11" s="20" t="inlineStr">
        <is>
          <t>—</t>
        </is>
      </c>
      <c r="F11" s="20" t="inlineStr">
        <is>
          <t>—</t>
        </is>
      </c>
      <c r="G11" s="21" t="inlineStr">
        <is>
          <t>—</t>
        </is>
      </c>
      <c r="H11" s="21" t="inlineStr">
        <is>
          <t>—</t>
        </is>
      </c>
      <c r="I11" s="21" t="inlineStr">
        <is>
          <t>A definir con el dev</t>
        </is>
      </c>
      <c r="J11" s="21" t="inlineStr">
        <is>
          <t>Tema principal del juego</t>
        </is>
      </c>
      <c r="K11" s="21" t="inlineStr">
        <is>
          <t>Por definir</t>
        </is>
      </c>
      <c r="L11" s="21" t="inlineStr">
        <is>
          <t>Primer Indie Lat. Apuntar a dev chico/accesible (Chile, Argentina, Uruguay).</t>
        </is>
      </c>
    </row>
    <row r="12" ht="43.5" customHeight="1" s="16">
      <c r="A12" s="22" t="inlineStr">
        <is>
          <t>7</t>
        </is>
      </c>
      <c r="B12" s="22" t="inlineStr">
        <is>
          <t>Mes 3</t>
        </is>
      </c>
      <c r="C12" s="23" t="inlineStr">
        <is>
          <t>Chrono Trigger</t>
        </is>
      </c>
      <c r="D12" s="23" t="inlineStr">
        <is>
          <t>Chrono</t>
        </is>
      </c>
      <c r="E12" s="22" t="inlineStr">
        <is>
          <t>1995</t>
        </is>
      </c>
      <c r="F12" s="22" t="inlineStr">
        <is>
          <t>4ta</t>
        </is>
      </c>
      <c r="G12" s="23" t="inlineStr">
        <is>
          <t>SNES</t>
        </is>
      </c>
      <c r="H12" s="23" t="inlineStr">
        <is>
          <t>PS1, DS, móvil, PC</t>
        </is>
      </c>
      <c r="I12" s="23" t="inlineStr">
        <is>
          <t>Yasunori Mitsuda + Nobuo Uematsu</t>
        </is>
      </c>
      <c r="J12" s="23" t="inlineStr">
        <is>
          <t>Corridors of Time</t>
        </is>
      </c>
      <c r="K12" s="23" t="inlineStr">
        <is>
          <t>Planificado</t>
        </is>
      </c>
      <c r="L12" s="23" t="inlineStr">
        <is>
          <t>Culto absoluto. Desafío técnico que la audiencia aplaude.</t>
        </is>
      </c>
    </row>
    <row r="13" ht="43.5" customHeight="1" s="16">
      <c r="A13" s="20" t="inlineStr">
        <is>
          <t>8</t>
        </is>
      </c>
      <c r="B13" s="20" t="inlineStr">
        <is>
          <t>Mes 3</t>
        </is>
      </c>
      <c r="C13" s="21" t="inlineStr">
        <is>
          <t>Sonic the Hedgehog</t>
        </is>
      </c>
      <c r="D13" s="21" t="inlineStr">
        <is>
          <t>Sonic</t>
        </is>
      </c>
      <c r="E13" s="20" t="inlineStr">
        <is>
          <t>1991</t>
        </is>
      </c>
      <c r="F13" s="20" t="inlineStr">
        <is>
          <t>4ta</t>
        </is>
      </c>
      <c r="G13" s="21" t="inlineStr">
        <is>
          <t>Genesis</t>
        </is>
      </c>
      <c r="H13" s="21" t="inlineStr">
        <is>
          <t>Mega Drive (mismo hardware); Origins, multiplataforma</t>
        </is>
      </c>
      <c r="I13" s="21" t="inlineStr">
        <is>
          <t>Masato Nakamura</t>
        </is>
      </c>
      <c r="J13" s="21" t="inlineStr">
        <is>
          <t>Green Hill Zone</t>
        </is>
      </c>
      <c r="K13" s="21" t="inlineStr">
        <is>
          <t>Planificado</t>
        </is>
      </c>
      <c r="L13" s="21" t="inlineStr">
        <is>
          <t>Contraprogramación a Mario. Sonic 3 tiene historia con Michael Jackson.</t>
        </is>
      </c>
    </row>
    <row r="14" ht="43.5" customHeight="1" s="16">
      <c r="A14" s="22" t="inlineStr">
        <is>
          <t>9</t>
        </is>
      </c>
      <c r="B14" s="22" t="inlineStr">
        <is>
          <t>Mes 3</t>
        </is>
      </c>
      <c r="C14" s="23" t="inlineStr">
        <is>
          <t>[Indie Lat #2] — por definir</t>
        </is>
      </c>
      <c r="D14" s="23" t="inlineStr">
        <is>
          <t>—</t>
        </is>
      </c>
      <c r="E14" s="22" t="inlineStr">
        <is>
          <t>—</t>
        </is>
      </c>
      <c r="F14" s="22" t="inlineStr">
        <is>
          <t>—</t>
        </is>
      </c>
      <c r="G14" s="23" t="inlineStr">
        <is>
          <t>—</t>
        </is>
      </c>
      <c r="H14" s="23" t="inlineStr">
        <is>
          <t>—</t>
        </is>
      </c>
      <c r="I14" s="23" t="inlineStr">
        <is>
          <t>A definir con el dev</t>
        </is>
      </c>
      <c r="J14" s="23" t="inlineStr">
        <is>
          <t>Tema principal del juego</t>
        </is>
      </c>
      <c r="K14" s="23" t="inlineStr">
        <is>
          <t>Por definir</t>
        </is>
      </c>
      <c r="L14" s="23" t="inlineStr">
        <is>
          <t>Con un Indie Lat hecho, podemos llegar con portafolio a devs más establecidos.</t>
        </is>
      </c>
    </row>
    <row r="15" ht="43.5" customHeight="1" s="16">
      <c r="A15" s="20" t="inlineStr">
        <is>
          <t>10</t>
        </is>
      </c>
      <c r="B15" s="20" t="inlineStr">
        <is>
          <t>Mes 3</t>
        </is>
      </c>
      <c r="C15" s="21" t="inlineStr">
        <is>
          <t>Especial: Top colección de Koko</t>
        </is>
      </c>
      <c r="D15" s="21" t="inlineStr">
        <is>
          <t>Multi-saga</t>
        </is>
      </c>
      <c r="E15" s="20" t="inlineStr">
        <is>
          <t>Varios</t>
        </is>
      </c>
      <c r="F15" s="20" t="inlineStr">
        <is>
          <t>Multi</t>
        </is>
      </c>
      <c r="G15" s="21" t="inlineStr">
        <is>
          <t>Varias</t>
        </is>
      </c>
      <c r="H15" s="21" t="inlineStr">
        <is>
          <t>—</t>
        </is>
      </c>
      <c r="I15" s="21" t="inlineStr">
        <is>
          <t>Varios</t>
        </is>
      </c>
      <c r="J15" s="21" t="inlineStr">
        <is>
          <t>Medley sugerido</t>
        </is>
      </c>
      <c r="K15" s="21" t="inlineStr">
        <is>
          <t>Planificado</t>
        </is>
      </c>
      <c r="L15" s="21" t="inlineStr">
        <is>
          <t>Cierre del trimestre. Convierte viewers en suscriptores.</t>
        </is>
      </c>
    </row>
    <row r="16" ht="43.5" customHeight="1" s="16">
      <c r="A16" s="22" t="inlineStr">
        <is>
          <t>11</t>
        </is>
      </c>
      <c r="B16" s="22" t="inlineStr">
        <is>
          <t>Mes 4</t>
        </is>
      </c>
      <c r="C16" s="23" t="inlineStr">
        <is>
          <t>Yoshi's Island</t>
        </is>
      </c>
      <c r="D16" s="23" t="inlineStr">
        <is>
          <t>Yoshi</t>
        </is>
      </c>
      <c r="E16" s="22" t="inlineStr">
        <is>
          <t>1995</t>
        </is>
      </c>
      <c r="F16" s="22" t="inlineStr">
        <is>
          <t>4ta</t>
        </is>
      </c>
      <c r="G16" s="23" t="inlineStr">
        <is>
          <t>SNES</t>
        </is>
      </c>
      <c r="H16" s="23" t="inlineStr">
        <is>
          <t>GBA, NSO. Sub-serie de Super Mario</t>
        </is>
      </c>
      <c r="I16" s="23" t="inlineStr">
        <is>
          <t>Koji Kondo</t>
        </is>
      </c>
      <c r="J16" s="23" t="inlineStr">
        <is>
          <t>Athletic Theme / Flower Garden</t>
        </is>
      </c>
      <c r="K16" s="23" t="inlineStr">
        <is>
          <t>Planificado</t>
        </is>
      </c>
      <c r="L16" s="23" t="inlineStr">
        <is>
          <t>Cuarta aparición de Kondo en el catálogo — material para un short/especial sobre él.</t>
        </is>
      </c>
    </row>
    <row r="17" ht="43.5" customHeight="1" s="16">
      <c r="A17" s="20" t="inlineStr">
        <is>
          <t>12</t>
        </is>
      </c>
      <c r="B17" s="20" t="inlineStr">
        <is>
          <t>Mes 4</t>
        </is>
      </c>
      <c r="C17" s="21" t="inlineStr">
        <is>
          <t>Killer Instinct</t>
        </is>
      </c>
      <c r="D17" s="21" t="inlineStr">
        <is>
          <t>Killer Instinct</t>
        </is>
      </c>
      <c r="E17" s="20" t="inlineStr">
        <is>
          <t>1994</t>
        </is>
      </c>
      <c r="F17" s="20" t="inlineStr">
        <is>
          <t>4ta</t>
        </is>
      </c>
      <c r="G17" s="21" t="inlineStr">
        <is>
          <t>Arcade</t>
        </is>
      </c>
      <c r="H17" s="21" t="inlineStr">
        <is>
          <t>SNES, Game Boy, Xbox One (remake 2013)</t>
        </is>
      </c>
      <c r="I17" s="21" t="inlineStr">
        <is>
          <t>Robin Beanland + Graeme Norgate</t>
        </is>
      </c>
      <c r="J17" s="21" t="inlineStr">
        <is>
          <t>The Instinct (theme con voces)</t>
        </is>
      </c>
      <c r="K17" s="21" t="inlineStr">
        <is>
          <t>Planificado</t>
        </is>
      </c>
      <c r="L17" s="21" t="inlineStr">
        <is>
          <t>OST industrial/metal con voces. Perfecto para que Koko se luzca en batería.</t>
        </is>
      </c>
    </row>
    <row r="18" ht="43.5" customHeight="1" s="16">
      <c r="A18" s="22" t="inlineStr">
        <is>
          <t>13</t>
        </is>
      </c>
      <c r="B18" s="22" t="inlineStr">
        <is>
          <t>Mes 4</t>
        </is>
      </c>
      <c r="C18" s="23" t="inlineStr">
        <is>
          <t>Donkey Kong Country</t>
        </is>
      </c>
      <c r="D18" s="23" t="inlineStr">
        <is>
          <t>Donkey Kong</t>
        </is>
      </c>
      <c r="E18" s="22" t="inlineStr">
        <is>
          <t>1994</t>
        </is>
      </c>
      <c r="F18" s="22" t="inlineStr">
        <is>
          <t>4ta</t>
        </is>
      </c>
      <c r="G18" s="23" t="inlineStr">
        <is>
          <t>SNES</t>
        </is>
      </c>
      <c r="H18" s="23" t="inlineStr">
        <is>
          <t>GBA, NSO</t>
        </is>
      </c>
      <c r="I18" s="23" t="inlineStr">
        <is>
          <t>David Wise (con E. Fischer + R. Beanland)</t>
        </is>
      </c>
      <c r="J18" s="23" t="inlineStr">
        <is>
          <t>Aquatic Ambience / DK Island Swing</t>
        </is>
      </c>
      <c r="K18" s="23" t="inlineStr">
        <is>
          <t>Planificado</t>
        </is>
      </c>
      <c r="L18" s="23" t="inlineStr">
        <is>
          <t>Aquatic Ambience es legendaria. David Wise merece perfil completo.</t>
        </is>
      </c>
    </row>
    <row r="19" ht="43.5" customHeight="1" s="16">
      <c r="A19" s="20" t="inlineStr">
        <is>
          <t>14</t>
        </is>
      </c>
      <c r="B19" s="20" t="inlineStr">
        <is>
          <t>Mes 5</t>
        </is>
      </c>
      <c r="C19" s="21" t="inlineStr">
        <is>
          <t>Kirby Super Star</t>
        </is>
      </c>
      <c r="D19" s="21" t="inlineStr">
        <is>
          <t>Kirby</t>
        </is>
      </c>
      <c r="E19" s="20" t="inlineStr">
        <is>
          <t>1996</t>
        </is>
      </c>
      <c r="F19" s="20" t="inlineStr">
        <is>
          <t>4ta</t>
        </is>
      </c>
      <c r="G19" s="21" t="inlineStr">
        <is>
          <t>SNES</t>
        </is>
      </c>
      <c r="H19" s="21" t="inlineStr">
        <is>
          <t>DS (remake Ultra), NSO</t>
        </is>
      </c>
      <c r="I19" s="21" t="inlineStr">
        <is>
          <t>Jun Ishikawa + Dan Miyakawa</t>
        </is>
      </c>
      <c r="J19" s="21" t="inlineStr">
        <is>
          <t>Gourmet Race</t>
        </is>
      </c>
      <c r="K19" s="21" t="inlineStr">
        <is>
          <t>Planificado</t>
        </is>
      </c>
      <c r="L19" s="21" t="inlineStr">
        <is>
          <t>Gourmet Race = EL tema de Kirby. Reaparece en Smash. Hit asegurado en shorts.</t>
        </is>
      </c>
    </row>
    <row r="20" ht="43.5" customHeight="1" s="16">
      <c r="A20" s="22" t="inlineStr">
        <is>
          <t>15</t>
        </is>
      </c>
      <c r="B20" s="22" t="inlineStr">
        <is>
          <t>Mes 5</t>
        </is>
      </c>
      <c r="C20" s="23" t="inlineStr">
        <is>
          <t>Zelda: Ocarina of Time</t>
        </is>
      </c>
      <c r="D20" s="23" t="inlineStr">
        <is>
          <t>The Legend of Zelda</t>
        </is>
      </c>
      <c r="E20" s="22" t="inlineStr">
        <is>
          <t>1998</t>
        </is>
      </c>
      <c r="F20" s="22" t="inlineStr">
        <is>
          <t>5ta</t>
        </is>
      </c>
      <c r="G20" s="23" t="inlineStr">
        <is>
          <t>N64</t>
        </is>
      </c>
      <c r="H20" s="23" t="inlineStr">
        <is>
          <t>GameCube, 3DS, NSO</t>
        </is>
      </c>
      <c r="I20" s="23" t="inlineStr">
        <is>
          <t>Koji Kondo</t>
        </is>
      </c>
      <c r="J20" s="23" t="inlineStr">
        <is>
          <t>Hyrule Field / Lost Woods / Song of Storms</t>
        </is>
      </c>
      <c r="K20" s="23" t="inlineStr">
        <is>
          <t>Planificado</t>
        </is>
      </c>
      <c r="L20" s="23" t="inlineStr">
        <is>
          <t>Salto a 5ta gen. Segundo Zelda del catálogo. Posible mini-arco con Ep. 3.</t>
        </is>
      </c>
    </row>
    <row r="21" ht="43.5" customHeight="1" s="16">
      <c r="A21" s="20" t="inlineStr">
        <is>
          <t>16</t>
        </is>
      </c>
      <c r="B21" s="20" t="inlineStr">
        <is>
          <t>Mes 5</t>
        </is>
      </c>
      <c r="C21" s="21" t="inlineStr">
        <is>
          <t>[Indie Lat #3] — por definir</t>
        </is>
      </c>
      <c r="D21" s="21" t="inlineStr">
        <is>
          <t>—</t>
        </is>
      </c>
      <c r="E21" s="20" t="inlineStr">
        <is>
          <t>—</t>
        </is>
      </c>
      <c r="F21" s="20" t="inlineStr">
        <is>
          <t>—</t>
        </is>
      </c>
      <c r="G21" s="21" t="inlineStr">
        <is>
          <t>—</t>
        </is>
      </c>
      <c r="H21" s="21" t="inlineStr">
        <is>
          <t>—</t>
        </is>
      </c>
      <c r="I21" s="21" t="inlineStr">
        <is>
          <t>A definir con el dev</t>
        </is>
      </c>
      <c r="J21" s="21" t="inlineStr">
        <is>
          <t>Tema principal del juego</t>
        </is>
      </c>
      <c r="K21" s="21" t="inlineStr">
        <is>
          <t>Por definir</t>
        </is>
      </c>
      <c r="L21" s="21" t="inlineStr">
        <is>
          <t>Tercer Indie Lat. Ya con portafolio para apuntar a devs medianos.</t>
        </is>
      </c>
    </row>
    <row r="22" ht="43.5" customHeight="1" s="16">
      <c r="A22" s="22" t="inlineStr">
        <is>
          <t>17</t>
        </is>
      </c>
      <c r="B22" s="22" t="inlineStr">
        <is>
          <t>Mes 6</t>
        </is>
      </c>
      <c r="C22" s="23" t="inlineStr">
        <is>
          <t>Castlevania: Symphony of the Night</t>
        </is>
      </c>
      <c r="D22" s="23" t="inlineStr">
        <is>
          <t>Castlevania</t>
        </is>
      </c>
      <c r="E22" s="22" t="inlineStr">
        <is>
          <t>1997</t>
        </is>
      </c>
      <c r="F22" s="22" t="inlineStr">
        <is>
          <t>5ta</t>
        </is>
      </c>
      <c r="G22" s="23" t="inlineStr">
        <is>
          <t>PS1</t>
        </is>
      </c>
      <c r="H22" s="23" t="inlineStr">
        <is>
          <t>Saturn (JP), PSP, móvil, modernas</t>
        </is>
      </c>
      <c r="I22" s="23" t="inlineStr">
        <is>
          <t>Michiru Yamane</t>
        </is>
      </c>
      <c r="J22" s="23" t="inlineStr">
        <is>
          <t>Dracula's Castle / Wood Carving Partita</t>
        </is>
      </c>
      <c r="K22" s="23" t="inlineStr">
        <is>
          <t>Planificado</t>
        </is>
      </c>
      <c r="L22" s="23" t="inlineStr">
        <is>
          <t>Segundo Castlevania. Yamane = opuesta a Yamashita; gótica orquestal vs. metal NES.</t>
        </is>
      </c>
    </row>
    <row r="23" ht="43.5" customHeight="1" s="16">
      <c r="A23" s="20" t="inlineStr">
        <is>
          <t>18</t>
        </is>
      </c>
      <c r="B23" s="20" t="inlineStr">
        <is>
          <t>Mes 6</t>
        </is>
      </c>
      <c r="C23" s="21" t="inlineStr">
        <is>
          <t>Metal Gear Solid</t>
        </is>
      </c>
      <c r="D23" s="21" t="inlineStr">
        <is>
          <t>Metal Gear</t>
        </is>
      </c>
      <c r="E23" s="20" t="inlineStr">
        <is>
          <t>1998</t>
        </is>
      </c>
      <c r="F23" s="20" t="inlineStr">
        <is>
          <t>5ta</t>
        </is>
      </c>
      <c r="G23" s="21" t="inlineStr">
        <is>
          <t>PS1</t>
        </is>
      </c>
      <c r="H23" s="21" t="inlineStr">
        <is>
          <t>PC, GameCube (Twin Snakes)</t>
        </is>
      </c>
      <c r="I23" s="21" t="inlineStr">
        <is>
          <t>Tappi Iwase + KCE Japan Sound Team</t>
        </is>
      </c>
      <c r="J23" s="21" t="inlineStr">
        <is>
          <t>Encounter / Main Theme</t>
        </is>
      </c>
      <c r="K23" s="21" t="inlineStr">
        <is>
          <t>Planificado</t>
        </is>
      </c>
      <c r="L23" s="21" t="inlineStr">
        <is>
          <t>OST cinemática. Salto de 16-bit a 3D y la influencia del cine en gaming.</t>
        </is>
      </c>
    </row>
    <row r="24" ht="43.5" customHeight="1" s="16">
      <c r="A24" s="22" t="inlineStr">
        <is>
          <t>19</t>
        </is>
      </c>
      <c r="B24" s="22" t="inlineStr">
        <is>
          <t>Mes 6</t>
        </is>
      </c>
      <c r="C24" s="23" t="inlineStr">
        <is>
          <t>[Indie Lat #4] — por definir</t>
        </is>
      </c>
      <c r="D24" s="23" t="inlineStr">
        <is>
          <t>—</t>
        </is>
      </c>
      <c r="E24" s="22" t="inlineStr">
        <is>
          <t>—</t>
        </is>
      </c>
      <c r="F24" s="22" t="inlineStr">
        <is>
          <t>—</t>
        </is>
      </c>
      <c r="G24" s="23" t="inlineStr">
        <is>
          <t>—</t>
        </is>
      </c>
      <c r="H24" s="23" t="inlineStr">
        <is>
          <t>—</t>
        </is>
      </c>
      <c r="I24" s="23" t="inlineStr">
        <is>
          <t>A definir con el dev</t>
        </is>
      </c>
      <c r="J24" s="23" t="inlineStr">
        <is>
          <t>Tema principal del juego</t>
        </is>
      </c>
      <c r="K24" s="23" t="inlineStr">
        <is>
          <t>Por definir</t>
        </is>
      </c>
      <c r="L24" s="23" t="inlineStr">
        <is>
          <t>Cuarto Indie Lat. Posición para llegar a Ironhide o ACE Team.</t>
        </is>
      </c>
    </row>
    <row r="25" ht="43.5" customHeight="1" s="16">
      <c r="A25" s="20" t="inlineStr">
        <is>
          <t>20</t>
        </is>
      </c>
      <c r="B25" s="20" t="inlineStr">
        <is>
          <t>Mes 6</t>
        </is>
      </c>
      <c r="C25" s="21" t="inlineStr">
        <is>
          <t>Especial: Mejor OST del semestre</t>
        </is>
      </c>
      <c r="D25" s="21" t="inlineStr">
        <is>
          <t>Multi-saga</t>
        </is>
      </c>
      <c r="E25" s="20" t="inlineStr">
        <is>
          <t>Varios</t>
        </is>
      </c>
      <c r="F25" s="20" t="inlineStr">
        <is>
          <t>Multi</t>
        </is>
      </c>
      <c r="G25" s="21" t="inlineStr">
        <is>
          <t>Varias</t>
        </is>
      </c>
      <c r="H25" s="21" t="inlineStr">
        <is>
          <t>—</t>
        </is>
      </c>
      <c r="I25" s="21" t="inlineStr">
        <is>
          <t>Varios</t>
        </is>
      </c>
      <c r="J25" s="21" t="inlineStr">
        <is>
          <t>Top votado por la audiencia (medley en batería)</t>
        </is>
      </c>
      <c r="K25" s="21" t="inlineStr">
        <is>
          <t>Planificado</t>
        </is>
      </c>
      <c r="L25" s="21" t="inlineStr">
        <is>
          <t>Cierre de los 6 meses. Audiencia vota mejor OST. Koko arma medley en batería.</t>
        </is>
      </c>
    </row>
    <row r="27" ht="30" customHeight="1" s="16">
      <c r="A27" s="24" t="inlineStr">
        <is>
          <t>Filtrá por Generación, Saga, Consola o Año para reorganizar el catálogo. El asterisco (4*) indica una alternativa al mismo episodio. La hoja 'Resumen' tiene los conteos automáticos por dimensión.</t>
        </is>
      </c>
    </row>
  </sheetData>
  <autoFilter ref="A4:L25"/>
  <mergeCells count="3">
    <mergeCell ref="A2:L2"/>
    <mergeCell ref="A1:L1"/>
    <mergeCell ref="A27:L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5" min="1" max="1"/>
    <col width="14" customWidth="1" style="15" min="2" max="2"/>
    <col width="4" customWidth="1" style="15" min="3" max="3"/>
    <col width="28" customWidth="1" style="15" min="4" max="4"/>
    <col width="14" customWidth="1" style="15" min="5" max="5"/>
  </cols>
  <sheetData>
    <row r="1" ht="30" customHeight="1" s="16">
      <c r="A1" s="25" t="inlineStr">
        <is>
          <t>RETROTARROS — Resumen del catálogo (6 meses)</t>
        </is>
      </c>
    </row>
    <row r="2" ht="19.5" customHeight="1" s="16">
      <c r="A2" s="26" t="inlineStr">
        <is>
          <t>Conteos automáticos · si editas el catálogo, estos números se actualizan</t>
        </is>
      </c>
    </row>
    <row r="4" ht="21.75" customHeight="1" s="16">
      <c r="A4" s="27" t="inlineStr">
        <is>
          <t>Por generación</t>
        </is>
      </c>
      <c r="D4" s="27" t="inlineStr">
        <is>
          <t>Compositores recurrentes</t>
        </is>
      </c>
    </row>
    <row r="5" ht="15" customHeight="1" s="16">
      <c r="A5" s="28" t="inlineStr">
        <is>
          <t>Generación</t>
        </is>
      </c>
      <c r="B5" s="28" t="inlineStr">
        <is>
          <t>Episodios</t>
        </is>
      </c>
      <c r="D5" s="28" t="inlineStr">
        <is>
          <t>Compositor</t>
        </is>
      </c>
      <c r="E5" s="28" t="inlineStr">
        <is>
          <t>Apariciones</t>
        </is>
      </c>
    </row>
    <row r="6" ht="15" customHeight="1" s="16">
      <c r="A6" s="29" t="inlineStr">
        <is>
          <t>3ra (NES era)</t>
        </is>
      </c>
      <c r="B6" s="30">
        <f>COUNTIF(Catálogo!F:F, "3ra")</f>
        <v/>
      </c>
      <c r="D6" s="29" t="inlineStr">
        <is>
          <t>Koji Kondo</t>
        </is>
      </c>
      <c r="E6" s="30">
        <f>COUNTIF(Catálogo!I:I, "*Koji Kondo*")</f>
        <v/>
      </c>
    </row>
    <row r="7" ht="15" customHeight="1" s="16">
      <c r="A7" s="29" t="inlineStr">
        <is>
          <t>4ta (SNES / Genesis / Arcade)</t>
        </is>
      </c>
      <c r="B7" s="30">
        <f>COUNTIF(Catálogo!F:F, "4ta")</f>
        <v/>
      </c>
      <c r="D7" s="29" t="inlineStr">
        <is>
          <t>Nobuo Uematsu</t>
        </is>
      </c>
      <c r="E7" s="30">
        <f>COUNTIF(Catálogo!I:I, "*Nobuo Uematsu*")</f>
        <v/>
      </c>
    </row>
    <row r="8" ht="15" customHeight="1" s="16">
      <c r="A8" s="29" t="inlineStr">
        <is>
          <t>5ta (PS1 / N64)</t>
        </is>
      </c>
      <c r="B8" s="30">
        <f>COUNTIF(Catálogo!F:F, "5ta")</f>
        <v/>
      </c>
      <c r="D8" s="29" t="inlineStr">
        <is>
          <t>Kinuyo Yamashita</t>
        </is>
      </c>
      <c r="E8" s="30">
        <f>COUNTIF(Catálogo!I:I, "*Kinuyo Yamashita*")</f>
        <v/>
      </c>
    </row>
    <row r="9" ht="15" customHeight="1" s="16">
      <c r="A9" s="29" t="inlineStr">
        <is>
          <t>Especiales (multi-gen)</t>
        </is>
      </c>
      <c r="B9" s="30">
        <f>COUNTIF(Catálogo!F:F, "Multi")</f>
        <v/>
      </c>
      <c r="D9" s="29" t="inlineStr">
        <is>
          <t>Manami Matsumae</t>
        </is>
      </c>
      <c r="E9" s="30">
        <f>COUNTIF(Catálogo!I:I, "*Manami Matsumae*")</f>
        <v/>
      </c>
    </row>
    <row r="10" ht="15" customHeight="1" s="16">
      <c r="A10" s="29" t="inlineStr">
        <is>
          <t>Indie Lat (sin asignar)</t>
        </is>
      </c>
      <c r="B10" s="30">
        <f>COUNTIF(Catálogo!F:F, "—")</f>
        <v/>
      </c>
      <c r="D10" s="29" t="inlineStr">
        <is>
          <t>Yasunori Mitsuda</t>
        </is>
      </c>
      <c r="E10" s="30">
        <f>COUNTIF(Catálogo!I:I, "*Mitsuda*")</f>
        <v/>
      </c>
    </row>
    <row r="11" ht="15" customHeight="1" s="16">
      <c r="A11" s="29" t="inlineStr">
        <is>
          <t>TOTAL episodios</t>
        </is>
      </c>
      <c r="B11" s="30">
        <f>COUNTA(Catálogo!C5:C25)-COUNTBLANK(Catálogo!F5:F25)</f>
        <v/>
      </c>
      <c r="D11" s="29" t="inlineStr">
        <is>
          <t>Masato Nakamura</t>
        </is>
      </c>
      <c r="E11" s="30">
        <f>COUNTIF(Catálogo!I:I, "*Nakamura*")</f>
        <v/>
      </c>
    </row>
    <row r="12" ht="15" customHeight="1" s="16">
      <c r="D12" s="29" t="inlineStr">
        <is>
          <t>David Wise</t>
        </is>
      </c>
      <c r="E12" s="30">
        <f>COUNTIF(Catálogo!I:I, "*David Wise*")</f>
        <v/>
      </c>
    </row>
    <row r="13" ht="21.75" customHeight="1" s="16">
      <c r="A13" s="27" t="inlineStr">
        <is>
          <t>Por consola original</t>
        </is>
      </c>
      <c r="D13" s="29" t="inlineStr">
        <is>
          <t>Robin Beanland (Rare)</t>
        </is>
      </c>
      <c r="E13" s="30">
        <f>COUNTIF(Catálogo!I:I, "*Beanland*")</f>
        <v/>
      </c>
    </row>
    <row r="14" ht="15" customHeight="1" s="16">
      <c r="A14" s="28" t="inlineStr">
        <is>
          <t>Consola</t>
        </is>
      </c>
      <c r="B14" s="28" t="inlineStr">
        <is>
          <t>Episodios</t>
        </is>
      </c>
      <c r="D14" s="29" t="inlineStr">
        <is>
          <t>Michiru Yamane</t>
        </is>
      </c>
      <c r="E14" s="30">
        <f>COUNTIF(Catálogo!I:I, "*Yamane*")</f>
        <v/>
      </c>
    </row>
    <row r="15" ht="15" customHeight="1" s="16">
      <c r="A15" s="29" t="inlineStr">
        <is>
          <t>NES</t>
        </is>
      </c>
      <c r="B15" s="30">
        <f>COUNTIF(Catálogo!G:G, "NES")</f>
        <v/>
      </c>
      <c r="D15" s="29" t="inlineStr">
        <is>
          <t>Jun Ishikawa</t>
        </is>
      </c>
      <c r="E15" s="30">
        <f>COUNTIF(Catálogo!I:I, "*Ishikawa*")</f>
        <v/>
      </c>
    </row>
    <row r="16" ht="15" customHeight="1" s="16">
      <c r="A16" s="29" t="inlineStr">
        <is>
          <t>SNES</t>
        </is>
      </c>
      <c r="B16" s="30">
        <f>COUNTIF(Catálogo!G:G, "SNES")</f>
        <v/>
      </c>
      <c r="D16" s="29" t="inlineStr">
        <is>
          <t>Tappi Iwase / KCE</t>
        </is>
      </c>
      <c r="E16" s="30">
        <f>COUNTIF(Catálogo!I:I, "*Iwase*")</f>
        <v/>
      </c>
    </row>
    <row r="17" ht="15" customHeight="1" s="16">
      <c r="A17" s="29" t="inlineStr">
        <is>
          <t>Genesis</t>
        </is>
      </c>
      <c r="B17" s="30">
        <f>COUNTIF(Catálogo!G:G, "Genesis")</f>
        <v/>
      </c>
    </row>
    <row r="18" ht="21.75" customHeight="1" s="16">
      <c r="A18" s="29" t="inlineStr">
        <is>
          <t>Arcade</t>
        </is>
      </c>
      <c r="B18" s="30">
        <f>COUNTIF(Catálogo!G:G, "Arcade")</f>
        <v/>
      </c>
      <c r="D18" s="27" t="inlineStr">
        <is>
          <t>Por mes</t>
        </is>
      </c>
    </row>
    <row r="19" ht="15" customHeight="1" s="16">
      <c r="A19" s="29" t="inlineStr">
        <is>
          <t>PS1</t>
        </is>
      </c>
      <c r="B19" s="30">
        <f>COUNTIF(Catálogo!G:G, "PS1")</f>
        <v/>
      </c>
      <c r="D19" s="28" t="inlineStr">
        <is>
          <t>Mes</t>
        </is>
      </c>
      <c r="E19" s="28" t="inlineStr">
        <is>
          <t>Episodios</t>
        </is>
      </c>
    </row>
    <row r="20" ht="15" customHeight="1" s="16">
      <c r="A20" s="29" t="inlineStr">
        <is>
          <t>N64</t>
        </is>
      </c>
      <c r="B20" s="30">
        <f>COUNTIF(Catálogo!G:G, "N64")</f>
        <v/>
      </c>
      <c r="D20" s="29" t="inlineStr">
        <is>
          <t>Mes 1</t>
        </is>
      </c>
      <c r="E20" s="30">
        <f>COUNTIF(Catálogo!B:B, "Mes 1")</f>
        <v/>
      </c>
    </row>
    <row r="21" ht="15" customHeight="1" s="16">
      <c r="D21" s="29" t="inlineStr">
        <is>
          <t>Mes 2</t>
        </is>
      </c>
      <c r="E21" s="30">
        <f>COUNTIF(Catálogo!B:B, "Mes 2")</f>
        <v/>
      </c>
    </row>
    <row r="22" ht="21.75" customHeight="1" s="16">
      <c r="A22" s="27" t="inlineStr">
        <is>
          <t>Por saga</t>
        </is>
      </c>
      <c r="D22" s="29" t="inlineStr">
        <is>
          <t>Mes 3</t>
        </is>
      </c>
      <c r="E22" s="30">
        <f>COUNTIF(Catálogo!B:B, "Mes 3")</f>
        <v/>
      </c>
    </row>
    <row r="23" ht="15" customHeight="1" s="16">
      <c r="A23" s="28" t="inlineStr">
        <is>
          <t>Saga</t>
        </is>
      </c>
      <c r="B23" s="28" t="inlineStr">
        <is>
          <t>Episodios</t>
        </is>
      </c>
      <c r="D23" s="29" t="inlineStr">
        <is>
          <t>Mes 4</t>
        </is>
      </c>
      <c r="E23" s="30">
        <f>COUNTIF(Catálogo!B:B, "Mes 4")</f>
        <v/>
      </c>
    </row>
    <row r="24" ht="15" customHeight="1" s="16">
      <c r="A24" s="29" t="inlineStr">
        <is>
          <t>Super Mario</t>
        </is>
      </c>
      <c r="B24" s="30">
        <f>COUNTIF(Catálogo!D:D, "Super Mario")</f>
        <v/>
      </c>
      <c r="D24" s="29" t="inlineStr">
        <is>
          <t>Mes 5</t>
        </is>
      </c>
      <c r="E24" s="30">
        <f>COUNTIF(Catálogo!B:B, "Mes 5")</f>
        <v/>
      </c>
    </row>
    <row r="25" ht="15" customHeight="1" s="16">
      <c r="A25" s="29" t="inlineStr">
        <is>
          <t>The Legend of Zelda</t>
        </is>
      </c>
      <c r="B25" s="30">
        <f>COUNTIF(Catálogo!D:D, "The Legend of Zelda")</f>
        <v/>
      </c>
      <c r="D25" s="29" t="inlineStr">
        <is>
          <t>Mes 6</t>
        </is>
      </c>
      <c r="E25" s="30">
        <f>COUNTIF(Catálogo!B:B, "Mes 6")</f>
        <v/>
      </c>
    </row>
    <row r="26" ht="15" customHeight="1" s="16">
      <c r="A26" s="29" t="inlineStr">
        <is>
          <t>Castlevania</t>
        </is>
      </c>
      <c r="B26" s="30">
        <f>COUNTIF(Catálogo!D:D, "Castlevania")</f>
        <v/>
      </c>
    </row>
    <row r="27" ht="15" customHeight="1" s="16">
      <c r="A27" s="29" t="inlineStr">
        <is>
          <t>Final Fantasy</t>
        </is>
      </c>
      <c r="B27" s="30">
        <f>COUNTIF(Catálogo!D:D, "Final Fantasy")</f>
        <v/>
      </c>
    </row>
    <row r="28" ht="15" customHeight="1" s="16">
      <c r="A28" s="29" t="inlineStr">
        <is>
          <t>Mega Man (clásico)</t>
        </is>
      </c>
      <c r="B28" s="30">
        <f>COUNTIF(Catálogo!D:D, "Mega Man (clásico)")</f>
        <v/>
      </c>
    </row>
    <row r="29" ht="15" customHeight="1" s="16">
      <c r="A29" s="29" t="inlineStr">
        <is>
          <t>Chrono</t>
        </is>
      </c>
      <c r="B29" s="30">
        <f>COUNTIF(Catálogo!D:D, "Chrono")</f>
        <v/>
      </c>
    </row>
    <row r="30" ht="15" customHeight="1" s="16">
      <c r="A30" s="29" t="inlineStr">
        <is>
          <t>Sonic</t>
        </is>
      </c>
      <c r="B30" s="30">
        <f>COUNTIF(Catálogo!D:D, "Sonic")</f>
        <v/>
      </c>
    </row>
    <row r="31" ht="15" customHeight="1" s="16">
      <c r="A31" s="29" t="inlineStr">
        <is>
          <t>Yoshi</t>
        </is>
      </c>
      <c r="B31" s="30">
        <f>COUNTIF(Catálogo!D:D, "Yoshi")</f>
        <v/>
      </c>
    </row>
    <row r="32" ht="15" customHeight="1" s="16">
      <c r="A32" s="29" t="inlineStr">
        <is>
          <t>Killer Instinct</t>
        </is>
      </c>
      <c r="B32" s="30">
        <f>COUNTIF(Catálogo!D:D, "Killer Instinct")</f>
        <v/>
      </c>
    </row>
    <row r="33" ht="15" customHeight="1" s="16">
      <c r="A33" s="29" t="inlineStr">
        <is>
          <t>Donkey Kong</t>
        </is>
      </c>
      <c r="B33" s="30">
        <f>COUNTIF(Catálogo!D:D, "Donkey Kong")</f>
        <v/>
      </c>
    </row>
    <row r="34" ht="15" customHeight="1" s="16">
      <c r="A34" s="29" t="inlineStr">
        <is>
          <t>Kirby</t>
        </is>
      </c>
      <c r="B34" s="30">
        <f>COUNTIF(Catálogo!D:D, "Kirby")</f>
        <v/>
      </c>
    </row>
    <row r="35" ht="15" customHeight="1" s="16">
      <c r="A35" s="29" t="inlineStr">
        <is>
          <t>Metal Gear</t>
        </is>
      </c>
      <c r="B35" s="30">
        <f>COUNTIF(Catálogo!D:D, "Metal Gear")</f>
        <v/>
      </c>
    </row>
    <row r="38" ht="37.5" customHeight="1" s="16">
      <c r="A38" s="24" t="inlineStr">
        <is>
          <t>Tip: si Koji Kondo aparece en 4 episodios, hay material natural para un short/especial sobre él. Lo mismo con cualquier saga/compositor que se repita: detecta el patrón con esta hoja antes de planear la calendarización.</t>
        </is>
      </c>
    </row>
  </sheetData>
  <mergeCells count="8">
    <mergeCell ref="A4:B4"/>
    <mergeCell ref="A38:E38"/>
    <mergeCell ref="A2:E2"/>
    <mergeCell ref="A13:B13"/>
    <mergeCell ref="A1:E1"/>
    <mergeCell ref="D4:E4"/>
    <mergeCell ref="D18:E18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2026-05-06T03:56:05Z</dcterms:created>
  <dcterms:modified xmlns:dcterms="http://purl.org/dc/terms/" xmlns:xsi="http://www.w3.org/2001/XMLSchema-instance" xsi:type="dcterms:W3CDTF">2026-05-06T20:45:32Z</dcterms:modified>
  <cp:revision>0</cp:revision>
</cp:coreProperties>
</file>